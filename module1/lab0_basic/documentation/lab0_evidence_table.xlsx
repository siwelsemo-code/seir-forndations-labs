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oem\Documents\TheoWAF\class8\SEIR_Foundations\seir-forndations-labs\module1\lab0_basic\documentation\"/>
    </mc:Choice>
  </mc:AlternateContent>
  <xr:revisionPtr revIDLastSave="0" documentId="13_ncr:1_{C5942C00-972C-49E1-BC93-D07BF04D4D66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Evidence Table" sheetId="1" r:id="rId1"/>
    <sheet name="Deployment 3" sheetId="3" r:id="rId2"/>
    <sheet name="Deployment 2" sheetId="4" r:id="rId3"/>
    <sheet name="Deployment1" sheetId="5" r:id="rId4"/>
    <sheet name="Instance Detail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" i="2" l="1"/>
  <c r="L6" i="2"/>
  <c r="O5" i="2"/>
  <c r="L5" i="2"/>
  <c r="O4" i="2"/>
  <c r="L4" i="2"/>
  <c r="E9" i="1"/>
</calcChain>
</file>

<file path=xl/sharedStrings.xml><?xml version="1.0" encoding="utf-8"?>
<sst xmlns="http://schemas.openxmlformats.org/spreadsheetml/2006/main" count="57" uniqueCount="49">
  <si>
    <t>SEIR Foundations - Module 1, Lab 0 Homework: Evidence Table</t>
  </si>
  <si>
    <t>Student: YOUR NAME    |    Due: Tuesday, October 20, 2026, 12:00 PM Central</t>
  </si>
  <si>
    <t>Deployment</t>
  </si>
  <si>
    <t>Public IPv4 address</t>
  </si>
  <si>
    <t>Connection method</t>
  </si>
  <si>
    <t>Screenshot</t>
  </si>
  <si>
    <t>Instance terminated?</t>
  </si>
  <si>
    <t>34.233.124.132</t>
  </si>
  <si>
    <t>SSH client (ec2-user)</t>
  </si>
  <si>
    <t>screenshots/deployment-1.png; screenshots/deployment-1b.png</t>
  </si>
  <si>
    <t>54.90.129.188</t>
  </si>
  <si>
    <t>EC2 Instance Connect (browser)</t>
  </si>
  <si>
    <t>screenshots/deployment-2.png</t>
  </si>
  <si>
    <t>50.19.157.55</t>
  </si>
  <si>
    <t>screenshots/deployment-3.png</t>
  </si>
  <si>
    <t>Distinct IP check (3 different addresses required):</t>
  </si>
  <si>
    <t>Legend / notes</t>
  </si>
  <si>
    <t>Yellow cells: choose Yes or No after you have terminated each instance.</t>
  </si>
  <si>
    <t>Blue text: values copied from the screenshots (public IPs).</t>
  </si>
  <si>
    <t>Deployment 1 IP comes from the public DNS name ec2-34-233-124-132 used in the SSH command.</t>
  </si>
  <si>
    <t>Deployments 2 and 3 IPs come from the AWS Console footer in each screenshot.</t>
  </si>
  <si>
    <t>Instance details from dashboard screenshots</t>
  </si>
  <si>
    <t>Instance ID</t>
  </si>
  <si>
    <t>Private hostname</t>
  </si>
  <si>
    <t>Private IP</t>
  </si>
  <si>
    <t>Instance type</t>
  </si>
  <si>
    <t>Availability zone</t>
  </si>
  <si>
    <t>Uptime (min)</t>
  </si>
  <si>
    <t>CPU busy %</t>
  </si>
  <si>
    <t>vCPUs</t>
  </si>
  <si>
    <t>Memory used (Mi)</t>
  </si>
  <si>
    <t>Memory total (Mi)</t>
  </si>
  <si>
    <t>Memory used %</t>
  </si>
  <si>
    <t>Disk used (G)</t>
  </si>
  <si>
    <t>Disk total (G)</t>
  </si>
  <si>
    <t>Disk used %</t>
  </si>
  <si>
    <t>i-093bbf4e1a8e3ab4c</t>
  </si>
  <si>
    <t>ip-172-31-30-250.ec2.internal</t>
  </si>
  <si>
    <t>172.31.30.250</t>
  </si>
  <si>
    <t>t3.micro</t>
  </si>
  <si>
    <t>us-east-1c</t>
  </si>
  <si>
    <t>i-02a43ba7101c8fd75</t>
  </si>
  <si>
    <t>ip-172-31-18-11.ec2.internal</t>
  </si>
  <si>
    <t>172.31.18.11</t>
  </si>
  <si>
    <t>i-0c6bb5bbf245e7d67</t>
  </si>
  <si>
    <t>ip-172-31-19-13.ec2.internal</t>
  </si>
  <si>
    <t>172.31.19.13</t>
  </si>
  <si>
    <t>Source: values read from the dashboard in each screenshot. Percent columns are calculated. Dashboard reported disk as 20% full for all three.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</si>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</sst>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55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7E57F-DC1D-C5BA-784C-E4307C0B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33</xdr:col>
      <xdr:colOff>0</xdr:colOff>
      <xdr:row>67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B0B03A-3C85-9360-36D0-BF0487314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980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39</xdr:col>
      <xdr:colOff>133350</xdr:colOff>
      <xdr:row>56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686C1-40EB-3266-4FCA-4CFD8CB8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150"/>
          <a:ext cx="17202150" cy="1024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D10" sqref="D10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32" customWidth="1"/>
    <col min="4" max="4" width="52" customWidth="1"/>
    <col min="5" max="5" width="22" customWidth="1"/>
  </cols>
  <sheetData>
    <row r="1" spans="1:5" ht="18" x14ac:dyDescent="0.4">
      <c r="A1" s="1" t="s">
        <v>0</v>
      </c>
    </row>
    <row r="2" spans="1:5" x14ac:dyDescent="0.35">
      <c r="A2" s="2" t="s">
        <v>1</v>
      </c>
    </row>
    <row r="4" spans="1:5" ht="2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1.5" customHeight="1" x14ac:dyDescent="0.35">
      <c r="A5" s="4">
        <v>1</v>
      </c>
      <c r="B5" s="5" t="s">
        <v>7</v>
      </c>
      <c r="C5" s="6" t="s">
        <v>8</v>
      </c>
      <c r="D5" s="6" t="s">
        <v>9</v>
      </c>
      <c r="E5" s="7" t="s">
        <v>48</v>
      </c>
    </row>
    <row r="6" spans="1:5" ht="31.5" customHeight="1" x14ac:dyDescent="0.35">
      <c r="A6" s="4">
        <v>2</v>
      </c>
      <c r="B6" s="5" t="s">
        <v>10</v>
      </c>
      <c r="C6" s="6" t="s">
        <v>11</v>
      </c>
      <c r="D6" s="6" t="s">
        <v>12</v>
      </c>
      <c r="E6" s="7" t="s">
        <v>48</v>
      </c>
    </row>
    <row r="7" spans="1:5" ht="31.5" customHeight="1" x14ac:dyDescent="0.35">
      <c r="A7" s="4">
        <v>3</v>
      </c>
      <c r="B7" s="5" t="s">
        <v>13</v>
      </c>
      <c r="C7" s="6" t="s">
        <v>11</v>
      </c>
      <c r="D7" s="6" t="s">
        <v>14</v>
      </c>
      <c r="E7" s="7" t="s">
        <v>48</v>
      </c>
    </row>
    <row r="9" spans="1:5" x14ac:dyDescent="0.35">
      <c r="A9" s="8" t="s">
        <v>15</v>
      </c>
      <c r="E9" s="9" t="str">
        <f>IF(SUMPRODUCT(1/COUNTIF(B5:B7,B5:B7))=3,"PASS","FAIL")</f>
        <v>PASS</v>
      </c>
    </row>
    <row r="11" spans="1:5" x14ac:dyDescent="0.35">
      <c r="A11" s="8" t="s">
        <v>16</v>
      </c>
    </row>
    <row r="12" spans="1:5" x14ac:dyDescent="0.35">
      <c r="A12" s="10" t="s">
        <v>17</v>
      </c>
    </row>
    <row r="13" spans="1:5" x14ac:dyDescent="0.35">
      <c r="A13" s="10" t="s">
        <v>18</v>
      </c>
    </row>
    <row r="14" spans="1:5" x14ac:dyDescent="0.35">
      <c r="A14" s="10" t="s">
        <v>19</v>
      </c>
    </row>
    <row r="15" spans="1:5" x14ac:dyDescent="0.35">
      <c r="A15" s="10" t="s">
        <v>20</v>
      </c>
    </row>
  </sheetData>
  <dataValidations count="1">
    <dataValidation type="list" allowBlank="1" sqref="E5:E7" xr:uid="{00000000-0002-0000-00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5A7F-E2DB-4E0F-8924-D03B706E7F2D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CA75-B6AC-4621-9CF3-EA0B88BF5D2D}">
  <dimension ref="A1"/>
  <sheetViews>
    <sheetView topLeftCell="A46" workbookViewId="0">
      <selection activeCell="D13" sqref="D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A81C-4AEE-4A93-A91A-B7F7BB7339E1}">
  <dimension ref="A1"/>
  <sheetViews>
    <sheetView topLeftCell="K11" workbookViewId="0">
      <selection activeCell="L2" sqref="L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12" customWidth="1"/>
    <col min="2" max="2" width="24" customWidth="1"/>
    <col min="3" max="3" width="32" customWidth="1"/>
    <col min="4" max="4" width="15" customWidth="1"/>
    <col min="5" max="5" width="14" customWidth="1"/>
    <col min="6" max="6" width="16" customWidth="1"/>
    <col min="7" max="7" width="12" customWidth="1"/>
    <col min="8" max="8" width="11" customWidth="1"/>
    <col min="9" max="9" width="8" customWidth="1"/>
    <col min="10" max="11" width="16" customWidth="1"/>
    <col min="12" max="12" width="14" customWidth="1"/>
    <col min="13" max="14" width="13" customWidth="1"/>
    <col min="15" max="15" width="12" customWidth="1"/>
  </cols>
  <sheetData>
    <row r="1" spans="1:15" ht="18" x14ac:dyDescent="0.4">
      <c r="A1" s="1" t="s">
        <v>21</v>
      </c>
    </row>
    <row r="3" spans="1:15" ht="31.5" customHeight="1" x14ac:dyDescent="0.35">
      <c r="A3" s="3" t="s">
        <v>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</row>
    <row r="4" spans="1:15" x14ac:dyDescent="0.35">
      <c r="A4" s="11">
        <v>1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2">
        <v>45</v>
      </c>
      <c r="H4" s="12">
        <v>0</v>
      </c>
      <c r="I4" s="12">
        <v>2</v>
      </c>
      <c r="J4" s="12">
        <v>156</v>
      </c>
      <c r="K4" s="12">
        <v>913</v>
      </c>
      <c r="L4" s="13">
        <f>J4/K4</f>
        <v>0.17086527929901424</v>
      </c>
      <c r="M4" s="12">
        <v>1.6</v>
      </c>
      <c r="N4" s="12">
        <v>8</v>
      </c>
      <c r="O4" s="13">
        <f>M4/N4</f>
        <v>0.2</v>
      </c>
    </row>
    <row r="5" spans="1:15" x14ac:dyDescent="0.35">
      <c r="A5" s="11">
        <v>2</v>
      </c>
      <c r="B5" s="11" t="s">
        <v>41</v>
      </c>
      <c r="C5" s="11" t="s">
        <v>42</v>
      </c>
      <c r="D5" s="11" t="s">
        <v>43</v>
      </c>
      <c r="E5" s="11" t="s">
        <v>39</v>
      </c>
      <c r="F5" s="11" t="s">
        <v>40</v>
      </c>
      <c r="G5" s="12">
        <v>19</v>
      </c>
      <c r="H5" s="12">
        <v>0</v>
      </c>
      <c r="I5" s="12">
        <v>2</v>
      </c>
      <c r="J5" s="12">
        <v>160</v>
      </c>
      <c r="K5" s="12">
        <v>913</v>
      </c>
      <c r="L5" s="13">
        <f>J5/K5</f>
        <v>0.17524644030668127</v>
      </c>
      <c r="M5" s="12">
        <v>1.6</v>
      </c>
      <c r="N5" s="12">
        <v>8</v>
      </c>
      <c r="O5" s="13">
        <f>M5/N5</f>
        <v>0.2</v>
      </c>
    </row>
    <row r="6" spans="1:15" x14ac:dyDescent="0.35">
      <c r="A6" s="11">
        <v>3</v>
      </c>
      <c r="B6" s="11" t="s">
        <v>44</v>
      </c>
      <c r="C6" s="11" t="s">
        <v>45</v>
      </c>
      <c r="D6" s="11" t="s">
        <v>46</v>
      </c>
      <c r="E6" s="11" t="s">
        <v>39</v>
      </c>
      <c r="F6" s="11" t="s">
        <v>40</v>
      </c>
      <c r="G6" s="12">
        <v>31</v>
      </c>
      <c r="H6" s="12">
        <v>0</v>
      </c>
      <c r="I6" s="12">
        <v>2</v>
      </c>
      <c r="J6" s="12">
        <v>150</v>
      </c>
      <c r="K6" s="12">
        <v>913</v>
      </c>
      <c r="L6" s="13">
        <f>J6/K6</f>
        <v>0.16429353778751368</v>
      </c>
      <c r="M6" s="12">
        <v>1.6</v>
      </c>
      <c r="N6" s="12">
        <v>8</v>
      </c>
      <c r="O6" s="13">
        <f>M6/N6</f>
        <v>0.2</v>
      </c>
    </row>
    <row r="8" spans="1:15" x14ac:dyDescent="0.35">
      <c r="A8" s="2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Evidence Table</vt:lpstr>
      <vt:lpstr>Deployment 3</vt:lpstr>
      <vt:lpstr>Deployment 2</vt:lpstr>
      <vt:lpstr>Deployment1</vt:lpstr>
      <vt:lpstr>Instance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Emonie Highgate</cp:lastModifiedBy>
  <cp:revision>0</cp:revision>
  <dcterms:created xsi:type="dcterms:W3CDTF">2026-10-19T20:15:48Z</dcterms:created>
  <dcterms:modified xsi:type="dcterms:W3CDTF">2026-10-19T20:32:39Z</dcterms:modified>
  <dc:language>en-US</dc:language>
</cp:coreProperties>
</file>